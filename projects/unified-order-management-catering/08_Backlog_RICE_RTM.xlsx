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Админ\Desktop\Бизнес-системная аналитика\Git\business-analytics-portfolio\projects\unified-order-management-catering\"/>
    </mc:Choice>
  </mc:AlternateContent>
  <xr:revisionPtr revIDLastSave="0" documentId="13_ncr:1_{4A8C7306-322E-4A48-B31C-4F507030F522}" xr6:coauthVersionLast="47" xr6:coauthVersionMax="47" xr10:uidLastSave="{00000000-0000-0000-0000-000000000000}"/>
  <bookViews>
    <workbookView xWindow="0" yWindow="4215" windowWidth="21600" windowHeight="11385" activeTab="1" xr2:uid="{00000000-000D-0000-FFFF-FFFF00000000}"/>
  </bookViews>
  <sheets>
    <sheet name="Backlog" sheetId="1" r:id="rId1"/>
    <sheet name="RICE" sheetId="2" r:id="rId2"/>
    <sheet name="RTM (матрица трассировки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2" l="1"/>
  <c r="I14" i="2" s="1"/>
  <c r="M14" i="2" s="1"/>
  <c r="N14" i="2" s="1"/>
  <c r="P14" i="2" s="1"/>
  <c r="E17" i="1" s="1"/>
  <c r="G13" i="2"/>
  <c r="I13" i="2" s="1"/>
  <c r="M13" i="2" s="1"/>
  <c r="N13" i="2" s="1"/>
  <c r="P13" i="2" s="1"/>
  <c r="E16" i="1" s="1"/>
  <c r="G5" i="2"/>
  <c r="I5" i="2" s="1"/>
  <c r="M5" i="2" s="1"/>
  <c r="N5" i="2" s="1"/>
  <c r="G3" i="2"/>
  <c r="I3" i="2" s="1"/>
  <c r="M3" i="2" s="1"/>
  <c r="N3" i="2" s="1"/>
  <c r="P3" i="2" s="1"/>
  <c r="E6" i="1" s="1"/>
  <c r="G9" i="2"/>
  <c r="I9" i="2" s="1"/>
  <c r="M9" i="2" s="1"/>
  <c r="N9" i="2" s="1"/>
  <c r="P8" i="2" l="1"/>
  <c r="E10" i="1" s="1"/>
  <c r="P5" i="2"/>
  <c r="E7" i="1" s="1"/>
  <c r="P6" i="2"/>
  <c r="E8" i="1" s="1"/>
  <c r="P7" i="2"/>
  <c r="E9" i="1" s="1"/>
  <c r="P10" i="2"/>
  <c r="E13" i="1" s="1"/>
  <c r="P11" i="2"/>
  <c r="E14" i="1" s="1"/>
  <c r="P12" i="2"/>
  <c r="E15" i="1" s="1"/>
  <c r="P9" i="2"/>
  <c r="E12" i="1" s="1"/>
  <c r="P4" i="2"/>
  <c r="E11" i="1" s="1"/>
</calcChain>
</file>

<file path=xl/sharedStrings.xml><?xml version="1.0" encoding="utf-8"?>
<sst xmlns="http://schemas.openxmlformats.org/spreadsheetml/2006/main" count="209" uniqueCount="123">
  <si>
    <t>Product Backlog</t>
  </si>
  <si>
    <t>ID</t>
  </si>
  <si>
    <t>Epic</t>
  </si>
  <si>
    <t>User Story</t>
  </si>
  <si>
    <t>MoSCoW</t>
  </si>
  <si>
    <t>Status</t>
  </si>
  <si>
    <t>Приём и обработка заявок (MVP)</t>
  </si>
  <si>
    <t>Must</t>
  </si>
  <si>
    <t>Версия документа: v.1.2</t>
  </si>
  <si>
    <t>Дата: 10.02.2026г.</t>
  </si>
  <si>
    <t>US-01</t>
  </si>
  <si>
    <t>US-02</t>
  </si>
  <si>
    <t>US-03</t>
  </si>
  <si>
    <t>US-04</t>
  </si>
  <si>
    <t>US-05</t>
  </si>
  <si>
    <t>US-06</t>
  </si>
  <si>
    <t>US-07</t>
  </si>
  <si>
    <t>US-08</t>
  </si>
  <si>
    <t>US-09</t>
  </si>
  <si>
    <t>US-10</t>
  </si>
  <si>
    <t>US-11</t>
  </si>
  <si>
    <t>US-12</t>
  </si>
  <si>
    <t>Как Клиент Я хочу добавить товар в корзину</t>
  </si>
  <si>
    <t>Как Клиент Я хочу изменить количество товаров в корзине</t>
  </si>
  <si>
    <t>Как Клиент Я хочу удалить товар из корзины</t>
  </si>
  <si>
    <t>Как Клиент Я хочу видеть только доступные даты при оформлении заказа</t>
  </si>
  <si>
    <t>Как Менеджер Я хочу просматривать карточку заказа в панели управления</t>
  </si>
  <si>
    <t>Как Менеджер Я хочу редактировать карточку заказа</t>
  </si>
  <si>
    <t>Как Менеджер Я хочу просматривать и фильтровать статусы заказов</t>
  </si>
  <si>
    <t>Как Менеджер Я хочу получить уведомление о новом событии</t>
  </si>
  <si>
    <t>Как Клиент Я хочу личный кабинет с историей заказов и документами</t>
  </si>
  <si>
    <t>Should</t>
  </si>
  <si>
    <t>Как Директор Я хочу блок аналитики в единой системе управления заказами с графиками загрузки по датам и выручки</t>
  </si>
  <si>
    <t>На доработке</t>
  </si>
  <si>
    <t>Работа менеджера с заказами</t>
  </si>
  <si>
    <t>Формирование заказа клиентом</t>
  </si>
  <si>
    <t>Фича</t>
  </si>
  <si>
    <t>Покрытие US</t>
  </si>
  <si>
    <t>Управление календарём и доступностью</t>
  </si>
  <si>
    <t>Личный кабинет клиента (Full)</t>
  </si>
  <si>
    <t>Аналитика (Full)</t>
  </si>
  <si>
    <t>F-01</t>
  </si>
  <si>
    <t>F-02</t>
  </si>
  <si>
    <t>F-03</t>
  </si>
  <si>
    <t>F-04</t>
  </si>
  <si>
    <t>F-05</t>
  </si>
  <si>
    <t>T-shirt sizing</t>
  </si>
  <si>
    <t>Rought effort estimates</t>
  </si>
  <si>
    <t>Добавление товара в корзину</t>
  </si>
  <si>
    <t>Изменение количества товаров в корзине</t>
  </si>
  <si>
    <t>Удаление товара из корзины</t>
  </si>
  <si>
    <t>Получение подтверждения заказа</t>
  </si>
  <si>
    <t>Просмотр только доступных дат</t>
  </si>
  <si>
    <t>Просмотр карточки заказа</t>
  </si>
  <si>
    <t>Редактирование карточки заказа</t>
  </si>
  <si>
    <t>Просмотр и фильтрация статусов заказов</t>
  </si>
  <si>
    <t>Получение уведомлений о событиях</t>
  </si>
  <si>
    <t>Личный кабинет клиента</t>
  </si>
  <si>
    <t>Блок аналитики</t>
  </si>
  <si>
    <t>Устранение админа сайта из процессов</t>
  </si>
  <si>
    <t>O - оптимистичная (min)</t>
  </si>
  <si>
    <t>M - наиболее вероятная</t>
  </si>
  <si>
    <t>P - пессимистичная (max)</t>
  </si>
  <si>
    <t>XS: 1-4 часа</t>
  </si>
  <si>
    <t>XL</t>
  </si>
  <si>
    <t>L</t>
  </si>
  <si>
    <t xml:space="preserve">M: 24-80 ч </t>
  </si>
  <si>
    <t>(3-10 раб.дн.)</t>
  </si>
  <si>
    <t>(10-20 раб.дн.)</t>
  </si>
  <si>
    <t>L: 80-160 ч</t>
  </si>
  <si>
    <t xml:space="preserve">S: 4-16 ч </t>
  </si>
  <si>
    <t>(0,5-3 раб.дн.)</t>
  </si>
  <si>
    <t>XL: 160-240 ч</t>
  </si>
  <si>
    <t xml:space="preserve"> (20-30 раб.дн.)</t>
  </si>
  <si>
    <t>O (ч)</t>
  </si>
  <si>
    <t>P(ч)</t>
  </si>
  <si>
    <t>M(ч)</t>
  </si>
  <si>
    <t>Expected = (O + 4M + P) / 6 (ч)</t>
  </si>
  <si>
    <t>RICE</t>
  </si>
  <si>
    <t>Reach (users / months)</t>
  </si>
  <si>
    <t>Impact</t>
  </si>
  <si>
    <t>Confidence</t>
  </si>
  <si>
    <t>Effort (weeks)</t>
  </si>
  <si>
    <t>RICE = (R x I x C) / E</t>
  </si>
  <si>
    <t>Вес US в фиче</t>
  </si>
  <si>
    <t>RICE US</t>
  </si>
  <si>
    <r>
      <t>Reach</t>
    </r>
    <r>
      <rPr>
        <sz val="11"/>
        <color theme="1"/>
        <rFont val="Calibri"/>
        <family val="2"/>
        <scheme val="minor"/>
      </rPr>
      <t xml:space="preserve"> — сколько пользователей/событий затронет фича за выбранный период (кол-во людей или транзакций).</t>
    </r>
  </si>
  <si>
    <r>
      <t>Confidence</t>
    </r>
    <r>
      <rPr>
        <sz val="11"/>
        <color theme="1"/>
        <rFont val="Calibri"/>
        <family val="2"/>
        <scheme val="minor"/>
      </rPr>
      <t xml:space="preserve"> — уверенность в оценках (0..1).</t>
    </r>
  </si>
  <si>
    <r>
      <t>Effort</t>
    </r>
    <r>
      <rPr>
        <sz val="11"/>
        <color theme="1"/>
        <rFont val="Calibri"/>
        <family val="2"/>
        <scheme val="minor"/>
      </rPr>
      <t xml:space="preserve"> — усилия в человеко-неделях / человеко-неделях (или человеко-неделях/человеко-часах — один формат).</t>
    </r>
  </si>
  <si>
    <t xml:space="preserve">На основании RICE приоритет MVP — реализация формирования заказа и управления календарём. </t>
  </si>
  <si>
    <t>Функции аналитики и личного кабинета относятся к этапу Full.</t>
  </si>
  <si>
    <t>Feature</t>
  </si>
  <si>
    <t>US</t>
  </si>
  <si>
    <t>UC</t>
  </si>
  <si>
    <t>FR</t>
  </si>
  <si>
    <t>NFR</t>
  </si>
  <si>
    <t>UC-01</t>
  </si>
  <si>
    <t>FR-01</t>
  </si>
  <si>
    <t>FR-02</t>
  </si>
  <si>
    <t>FR-04</t>
  </si>
  <si>
    <t>NFR-02</t>
  </si>
  <si>
    <t>NFR-02, NFR-03</t>
  </si>
  <si>
    <t>NFR-02, NFR-04, NFR-05</t>
  </si>
  <si>
    <t>Requrements Traceability Matrix</t>
  </si>
  <si>
    <t>FR-07</t>
  </si>
  <si>
    <t>FR-03</t>
  </si>
  <si>
    <t>UC-03</t>
  </si>
  <si>
    <t>NFR-01, NFR-05</t>
  </si>
  <si>
    <t>NFR-06</t>
  </si>
  <si>
    <t>NFR-05</t>
  </si>
  <si>
    <t>NFR-01, NFR-02, NFR-05, NFR-07</t>
  </si>
  <si>
    <t>NFR-03, NFR-05, NFR-06</t>
  </si>
  <si>
    <t>Как Менеджер Я хочу самостоятельно открывать и закрывать даты в календаре</t>
  </si>
  <si>
    <t>NFR-01, NFR-03, NFR-07</t>
  </si>
  <si>
    <t>UC-05</t>
  </si>
  <si>
    <t>FR-08</t>
  </si>
  <si>
    <t>UC-06</t>
  </si>
  <si>
    <t>FR-09</t>
  </si>
  <si>
    <t>Как Клиент Я хочу оформить, оплатить заказ и получить подтверждение</t>
  </si>
  <si>
    <t>Could</t>
  </si>
  <si>
    <t>Новый сайт, надёжность, аналитика и UX (Full)</t>
  </si>
  <si>
    <r>
      <t>Impact</t>
    </r>
    <r>
      <rPr>
        <sz val="11"/>
        <color theme="1"/>
        <rFont val="Calibri"/>
        <family val="2"/>
        <scheme val="minor"/>
      </rPr>
      <t xml:space="preserve"> — насколько сильно повлияет на ключевую метрику</t>
    </r>
  </si>
  <si>
    <t>UC-04, UC-2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</si>
</sst>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Fill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5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0" fillId="0" borderId="0" xfId="0" applyFill="1" applyAlignment="1">
      <alignment wrapText="1"/>
    </xf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opLeftCell="A10" workbookViewId="0">
      <selection activeCell="C16" sqref="C16"/>
    </sheetView>
  </sheetViews>
  <sheetFormatPr defaultRowHeight="15" x14ac:dyDescent="0.25"/>
  <cols>
    <col min="2" max="2" width="18.85546875" customWidth="1"/>
    <col min="3" max="3" width="46.42578125" customWidth="1"/>
    <col min="5" max="5" width="10.5703125" customWidth="1"/>
    <col min="6" max="6" width="15.5703125" customWidth="1"/>
  </cols>
  <sheetData>
    <row r="1" spans="1:8" ht="15.75" x14ac:dyDescent="0.25">
      <c r="A1" s="38" t="s">
        <v>0</v>
      </c>
      <c r="B1" s="38"/>
      <c r="C1" s="38"/>
      <c r="D1" s="38"/>
      <c r="E1" s="38"/>
      <c r="F1" s="38"/>
    </row>
    <row r="2" spans="1:8" x14ac:dyDescent="0.25">
      <c r="A2" s="1" t="s">
        <v>8</v>
      </c>
      <c r="D2" s="2"/>
      <c r="E2" s="2"/>
    </row>
    <row r="3" spans="1:8" x14ac:dyDescent="0.25">
      <c r="A3" s="1" t="s">
        <v>9</v>
      </c>
      <c r="D3" s="2"/>
      <c r="E3" s="2"/>
    </row>
    <row r="4" spans="1:8" x14ac:dyDescent="0.25">
      <c r="A4" s="2"/>
      <c r="D4" s="2"/>
      <c r="E4" s="2"/>
    </row>
    <row r="5" spans="1:8" ht="30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78</v>
      </c>
      <c r="F5" s="3" t="s">
        <v>5</v>
      </c>
    </row>
    <row r="6" spans="1:8" ht="45" x14ac:dyDescent="0.25">
      <c r="A6" s="24" t="s">
        <v>10</v>
      </c>
      <c r="B6" s="5" t="s">
        <v>6</v>
      </c>
      <c r="C6" s="5" t="s">
        <v>25</v>
      </c>
      <c r="D6" s="4" t="s">
        <v>7</v>
      </c>
      <c r="E6" s="6">
        <f>RICE!P3</f>
        <v>72</v>
      </c>
      <c r="F6" s="5" t="s">
        <v>33</v>
      </c>
      <c r="H6" s="23"/>
    </row>
    <row r="7" spans="1:8" ht="45" x14ac:dyDescent="0.25">
      <c r="A7" s="24" t="s">
        <v>11</v>
      </c>
      <c r="B7" s="5" t="s">
        <v>6</v>
      </c>
      <c r="C7" s="7" t="s">
        <v>26</v>
      </c>
      <c r="D7" s="4" t="s">
        <v>7</v>
      </c>
      <c r="E7" s="6">
        <f>RICE!P5</f>
        <v>14</v>
      </c>
      <c r="F7" s="5" t="s">
        <v>33</v>
      </c>
      <c r="H7" s="23"/>
    </row>
    <row r="8" spans="1:8" ht="45" x14ac:dyDescent="0.25">
      <c r="A8" s="24" t="s">
        <v>12</v>
      </c>
      <c r="B8" s="5" t="s">
        <v>6</v>
      </c>
      <c r="C8" s="5" t="s">
        <v>27</v>
      </c>
      <c r="D8" s="4" t="s">
        <v>7</v>
      </c>
      <c r="E8" s="6">
        <f>RICE!P6</f>
        <v>14</v>
      </c>
      <c r="F8" s="5" t="s">
        <v>33</v>
      </c>
      <c r="H8" s="23"/>
    </row>
    <row r="9" spans="1:8" ht="45" x14ac:dyDescent="0.25">
      <c r="A9" s="24" t="s">
        <v>13</v>
      </c>
      <c r="B9" s="5" t="s">
        <v>6</v>
      </c>
      <c r="C9" s="7" t="s">
        <v>28</v>
      </c>
      <c r="D9" s="4" t="s">
        <v>7</v>
      </c>
      <c r="E9" s="6">
        <f>RICE!P7</f>
        <v>14</v>
      </c>
      <c r="F9" s="5" t="s">
        <v>33</v>
      </c>
      <c r="H9" s="23"/>
    </row>
    <row r="10" spans="1:8" ht="45" x14ac:dyDescent="0.25">
      <c r="A10" s="24" t="s">
        <v>14</v>
      </c>
      <c r="B10" s="5" t="s">
        <v>6</v>
      </c>
      <c r="C10" s="5" t="s">
        <v>29</v>
      </c>
      <c r="D10" s="4" t="s">
        <v>7</v>
      </c>
      <c r="E10" s="6">
        <f>RICE!P8</f>
        <v>28</v>
      </c>
      <c r="F10" s="5" t="s">
        <v>33</v>
      </c>
      <c r="G10" s="22"/>
      <c r="H10" s="23"/>
    </row>
    <row r="11" spans="1:8" ht="45" x14ac:dyDescent="0.25">
      <c r="A11" s="24" t="s">
        <v>15</v>
      </c>
      <c r="B11" s="5" t="s">
        <v>6</v>
      </c>
      <c r="C11" s="20" t="s">
        <v>112</v>
      </c>
      <c r="D11" s="4" t="s">
        <v>7</v>
      </c>
      <c r="E11" s="6">
        <f>RICE!P4</f>
        <v>72</v>
      </c>
      <c r="F11" s="5" t="s">
        <v>33</v>
      </c>
    </row>
    <row r="12" spans="1:8" ht="60" x14ac:dyDescent="0.25">
      <c r="A12" s="24" t="s">
        <v>16</v>
      </c>
      <c r="B12" s="25" t="s">
        <v>120</v>
      </c>
      <c r="C12" s="32" t="s">
        <v>22</v>
      </c>
      <c r="D12" s="33" t="s">
        <v>31</v>
      </c>
      <c r="E12" s="34">
        <f>RICE!P9</f>
        <v>21</v>
      </c>
      <c r="F12" s="32" t="s">
        <v>33</v>
      </c>
      <c r="G12" s="22"/>
      <c r="H12" s="23"/>
    </row>
    <row r="13" spans="1:8" ht="60" x14ac:dyDescent="0.25">
      <c r="A13" s="24" t="s">
        <v>17</v>
      </c>
      <c r="B13" s="25" t="s">
        <v>120</v>
      </c>
      <c r="C13" s="35" t="s">
        <v>23</v>
      </c>
      <c r="D13" s="33" t="s">
        <v>31</v>
      </c>
      <c r="E13" s="34">
        <f>RICE!P10</f>
        <v>17.5</v>
      </c>
      <c r="F13" s="32" t="s">
        <v>33</v>
      </c>
      <c r="H13" s="23"/>
    </row>
    <row r="14" spans="1:8" ht="60" x14ac:dyDescent="0.25">
      <c r="A14" s="24" t="s">
        <v>18</v>
      </c>
      <c r="B14" s="25" t="s">
        <v>120</v>
      </c>
      <c r="C14" s="32" t="s">
        <v>24</v>
      </c>
      <c r="D14" s="33" t="s">
        <v>31</v>
      </c>
      <c r="E14" s="34">
        <f>RICE!P11</f>
        <v>10.5</v>
      </c>
      <c r="F14" s="32" t="s">
        <v>33</v>
      </c>
      <c r="G14" s="22"/>
      <c r="H14" s="23"/>
    </row>
    <row r="15" spans="1:8" ht="60" x14ac:dyDescent="0.25">
      <c r="A15" s="24" t="s">
        <v>19</v>
      </c>
      <c r="B15" s="25" t="s">
        <v>120</v>
      </c>
      <c r="C15" s="36" t="s">
        <v>118</v>
      </c>
      <c r="D15" s="33" t="s">
        <v>31</v>
      </c>
      <c r="E15" s="34">
        <f>RICE!P12</f>
        <v>21</v>
      </c>
      <c r="F15" s="32" t="s">
        <v>33</v>
      </c>
      <c r="H15" s="23"/>
    </row>
    <row r="16" spans="1:8" ht="60" x14ac:dyDescent="0.25">
      <c r="A16" s="24" t="s">
        <v>20</v>
      </c>
      <c r="B16" s="25" t="s">
        <v>120</v>
      </c>
      <c r="C16" s="5" t="s">
        <v>30</v>
      </c>
      <c r="D16" s="4" t="s">
        <v>31</v>
      </c>
      <c r="E16" s="6">
        <f>RICE!P13</f>
        <v>20</v>
      </c>
      <c r="F16" s="5" t="s">
        <v>33</v>
      </c>
    </row>
    <row r="17" spans="1:6" ht="60" x14ac:dyDescent="0.25">
      <c r="A17" s="24" t="s">
        <v>21</v>
      </c>
      <c r="B17" s="51" t="s">
        <v>120</v>
      </c>
      <c r="C17" s="5" t="s">
        <v>32</v>
      </c>
      <c r="D17" s="21" t="s">
        <v>119</v>
      </c>
      <c r="E17" s="6">
        <f>RICE!P14</f>
        <v>0.4</v>
      </c>
      <c r="F17" s="5" t="s">
        <v>33</v>
      </c>
    </row>
  </sheetData>
  <mergeCells count="1">
    <mergeCell ref="A1:F1"/>
  </mergeCells>
  <phoneticPr fontId="8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68D1-F7D8-46E6-8408-1EE3CBDF09B4}">
  <dimension ref="A1:P29"/>
  <sheetViews>
    <sheetView tabSelected="1" workbookViewId="0">
      <selection activeCell="D21" sqref="D21"/>
    </sheetView>
  </sheetViews>
  <sheetFormatPr defaultRowHeight="15" x14ac:dyDescent="0.25"/>
  <cols>
    <col min="1" max="1" width="6.85546875" style="9" customWidth="1"/>
    <col min="2" max="2" width="16.140625" style="9" customWidth="1"/>
    <col min="3" max="3" width="7.85546875" style="9" customWidth="1"/>
    <col min="4" max="4" width="22.7109375" style="10" customWidth="1"/>
    <col min="5" max="5" width="8.28515625" style="9" customWidth="1"/>
    <col min="6" max="7" width="6.85546875" style="9" customWidth="1"/>
    <col min="8" max="8" width="6.5703125" style="9" customWidth="1"/>
    <col min="9" max="9" width="10" style="9" customWidth="1"/>
    <col min="10" max="11" width="9.140625" style="9"/>
    <col min="12" max="12" width="11" style="9" customWidth="1"/>
    <col min="13" max="13" width="9.140625" style="9"/>
    <col min="14" max="14" width="11.5703125" style="9" bestFit="1" customWidth="1"/>
    <col min="15" max="15" width="9.140625" style="9"/>
    <col min="16" max="16" width="11.5703125" style="9" bestFit="1" customWidth="1"/>
    <col min="17" max="16384" width="9.140625" style="9"/>
  </cols>
  <sheetData>
    <row r="1" spans="1:16" x14ac:dyDescent="0.25">
      <c r="A1" s="39" t="s">
        <v>1</v>
      </c>
      <c r="B1" s="39" t="s">
        <v>36</v>
      </c>
      <c r="C1" s="39" t="s">
        <v>37</v>
      </c>
      <c r="D1" s="39"/>
      <c r="E1" s="39" t="s">
        <v>47</v>
      </c>
      <c r="F1" s="39"/>
      <c r="G1" s="39"/>
      <c r="H1" s="39"/>
      <c r="I1" s="39"/>
      <c r="J1" s="46" t="s">
        <v>78</v>
      </c>
      <c r="K1" s="47"/>
      <c r="L1" s="47"/>
      <c r="M1" s="47"/>
      <c r="N1" s="47"/>
      <c r="O1" s="47"/>
      <c r="P1" s="48"/>
    </row>
    <row r="2" spans="1:16" ht="45" x14ac:dyDescent="0.25">
      <c r="A2" s="39"/>
      <c r="B2" s="39"/>
      <c r="C2" s="39"/>
      <c r="D2" s="39"/>
      <c r="E2" s="3" t="s">
        <v>46</v>
      </c>
      <c r="F2" s="3" t="s">
        <v>74</v>
      </c>
      <c r="G2" s="3" t="s">
        <v>76</v>
      </c>
      <c r="H2" s="3" t="s">
        <v>75</v>
      </c>
      <c r="I2" s="3" t="s">
        <v>77</v>
      </c>
      <c r="J2" s="3" t="s">
        <v>79</v>
      </c>
      <c r="K2" s="3" t="s">
        <v>80</v>
      </c>
      <c r="L2" s="3" t="s">
        <v>81</v>
      </c>
      <c r="M2" s="3" t="s">
        <v>82</v>
      </c>
      <c r="N2" s="3" t="s">
        <v>83</v>
      </c>
      <c r="O2" s="3" t="s">
        <v>84</v>
      </c>
      <c r="P2" s="3" t="s">
        <v>85</v>
      </c>
    </row>
    <row r="3" spans="1:16" ht="30" x14ac:dyDescent="0.25">
      <c r="A3" s="39" t="s">
        <v>41</v>
      </c>
      <c r="B3" s="40" t="s">
        <v>38</v>
      </c>
      <c r="C3" s="3" t="s">
        <v>10</v>
      </c>
      <c r="D3" s="13" t="s">
        <v>52</v>
      </c>
      <c r="E3" s="41" t="s">
        <v>65</v>
      </c>
      <c r="F3" s="41">
        <v>80</v>
      </c>
      <c r="G3" s="41">
        <f>(F3+H3)/2</f>
        <v>100</v>
      </c>
      <c r="H3" s="41">
        <v>120</v>
      </c>
      <c r="I3" s="39">
        <f>(F3+4*G3+H3)/6</f>
        <v>100</v>
      </c>
      <c r="J3" s="41">
        <v>300</v>
      </c>
      <c r="K3" s="41">
        <v>2</v>
      </c>
      <c r="L3" s="41">
        <v>0.6</v>
      </c>
      <c r="M3" s="41">
        <f>I3/40</f>
        <v>2.5</v>
      </c>
      <c r="N3" s="45">
        <f>J3*K3*L3/M3</f>
        <v>144</v>
      </c>
      <c r="O3" s="14">
        <v>0.5</v>
      </c>
      <c r="P3" s="17">
        <f>N$3*O3</f>
        <v>72</v>
      </c>
    </row>
    <row r="4" spans="1:16" ht="30" x14ac:dyDescent="0.25">
      <c r="A4" s="39"/>
      <c r="B4" s="40"/>
      <c r="C4" s="3" t="s">
        <v>15</v>
      </c>
      <c r="D4" s="13" t="s">
        <v>59</v>
      </c>
      <c r="E4" s="41"/>
      <c r="F4" s="41"/>
      <c r="G4" s="41"/>
      <c r="H4" s="41"/>
      <c r="I4" s="39"/>
      <c r="J4" s="41"/>
      <c r="K4" s="41"/>
      <c r="L4" s="41"/>
      <c r="M4" s="41"/>
      <c r="N4" s="45"/>
      <c r="O4" s="14">
        <v>0.5</v>
      </c>
      <c r="P4" s="17">
        <f>N$3*O4</f>
        <v>72</v>
      </c>
    </row>
    <row r="5" spans="1:16" ht="30" x14ac:dyDescent="0.25">
      <c r="A5" s="39" t="s">
        <v>42</v>
      </c>
      <c r="B5" s="40" t="s">
        <v>34</v>
      </c>
      <c r="C5" s="3" t="s">
        <v>11</v>
      </c>
      <c r="D5" s="13" t="s">
        <v>53</v>
      </c>
      <c r="E5" s="41" t="s">
        <v>65</v>
      </c>
      <c r="F5" s="41">
        <v>80</v>
      </c>
      <c r="G5" s="41">
        <f>(F5+H5)/2</f>
        <v>120</v>
      </c>
      <c r="H5" s="41">
        <v>160</v>
      </c>
      <c r="I5" s="39">
        <f>(F5+4*G5+H5)/6</f>
        <v>120</v>
      </c>
      <c r="J5" s="41">
        <v>100</v>
      </c>
      <c r="K5" s="41">
        <v>3</v>
      </c>
      <c r="L5" s="41">
        <v>0.7</v>
      </c>
      <c r="M5" s="41">
        <f>I5/40</f>
        <v>3</v>
      </c>
      <c r="N5" s="45">
        <f>J5*K5*L5/M5</f>
        <v>70</v>
      </c>
      <c r="O5" s="14">
        <v>0.2</v>
      </c>
      <c r="P5" s="16">
        <f>N$5*O5</f>
        <v>14</v>
      </c>
    </row>
    <row r="6" spans="1:16" ht="30" x14ac:dyDescent="0.25">
      <c r="A6" s="39"/>
      <c r="B6" s="40"/>
      <c r="C6" s="3" t="s">
        <v>12</v>
      </c>
      <c r="D6" s="15" t="s">
        <v>54</v>
      </c>
      <c r="E6" s="41"/>
      <c r="F6" s="41"/>
      <c r="G6" s="41"/>
      <c r="H6" s="41"/>
      <c r="I6" s="39"/>
      <c r="J6" s="41"/>
      <c r="K6" s="41"/>
      <c r="L6" s="41"/>
      <c r="M6" s="41"/>
      <c r="N6" s="45"/>
      <c r="O6" s="14">
        <v>0.2</v>
      </c>
      <c r="P6" s="16">
        <f t="shared" ref="P6:P8" si="0">N$5*O6</f>
        <v>14</v>
      </c>
    </row>
    <row r="7" spans="1:16" ht="45" x14ac:dyDescent="0.25">
      <c r="A7" s="39"/>
      <c r="B7" s="40"/>
      <c r="C7" s="3" t="s">
        <v>13</v>
      </c>
      <c r="D7" s="13" t="s">
        <v>55</v>
      </c>
      <c r="E7" s="41"/>
      <c r="F7" s="41"/>
      <c r="G7" s="41"/>
      <c r="H7" s="41"/>
      <c r="I7" s="39"/>
      <c r="J7" s="41"/>
      <c r="K7" s="41"/>
      <c r="L7" s="41"/>
      <c r="M7" s="41"/>
      <c r="N7" s="45"/>
      <c r="O7" s="14">
        <v>0.2</v>
      </c>
      <c r="P7" s="16">
        <f t="shared" si="0"/>
        <v>14</v>
      </c>
    </row>
    <row r="8" spans="1:16" ht="45" x14ac:dyDescent="0.25">
      <c r="A8" s="39"/>
      <c r="B8" s="40"/>
      <c r="C8" s="3" t="s">
        <v>14</v>
      </c>
      <c r="D8" s="13" t="s">
        <v>56</v>
      </c>
      <c r="E8" s="41"/>
      <c r="F8" s="41"/>
      <c r="G8" s="41"/>
      <c r="H8" s="41"/>
      <c r="I8" s="39"/>
      <c r="J8" s="41"/>
      <c r="K8" s="41"/>
      <c r="L8" s="41"/>
      <c r="M8" s="41"/>
      <c r="N8" s="45"/>
      <c r="O8" s="14">
        <v>0.4</v>
      </c>
      <c r="P8" s="16">
        <f t="shared" si="0"/>
        <v>28</v>
      </c>
    </row>
    <row r="9" spans="1:16" s="30" customFormat="1" ht="30" x14ac:dyDescent="0.25">
      <c r="A9" s="43" t="s">
        <v>43</v>
      </c>
      <c r="B9" s="42" t="s">
        <v>35</v>
      </c>
      <c r="C9" s="26" t="s">
        <v>16</v>
      </c>
      <c r="D9" s="27" t="s">
        <v>48</v>
      </c>
      <c r="E9" s="44" t="s">
        <v>65</v>
      </c>
      <c r="F9" s="44">
        <v>80</v>
      </c>
      <c r="G9" s="44">
        <f>(F9+H9)/2</f>
        <v>120</v>
      </c>
      <c r="H9" s="44">
        <v>160</v>
      </c>
      <c r="I9" s="43">
        <f>(F9+4*G9+H9)/6</f>
        <v>120</v>
      </c>
      <c r="J9" s="44">
        <v>300</v>
      </c>
      <c r="K9" s="44">
        <v>1</v>
      </c>
      <c r="L9" s="44">
        <v>0.7</v>
      </c>
      <c r="M9" s="44">
        <f>I9/8/5</f>
        <v>3</v>
      </c>
      <c r="N9" s="49">
        <f>J9*K9*L9/M9</f>
        <v>70</v>
      </c>
      <c r="O9" s="28">
        <v>0.3</v>
      </c>
      <c r="P9" s="29">
        <f>N$9*O9</f>
        <v>21</v>
      </c>
    </row>
    <row r="10" spans="1:16" s="30" customFormat="1" ht="30" x14ac:dyDescent="0.25">
      <c r="A10" s="43"/>
      <c r="B10" s="42"/>
      <c r="C10" s="26" t="s">
        <v>17</v>
      </c>
      <c r="D10" s="27" t="s">
        <v>49</v>
      </c>
      <c r="E10" s="44"/>
      <c r="F10" s="44"/>
      <c r="G10" s="44"/>
      <c r="H10" s="44"/>
      <c r="I10" s="43"/>
      <c r="J10" s="44"/>
      <c r="K10" s="44"/>
      <c r="L10" s="44"/>
      <c r="M10" s="44"/>
      <c r="N10" s="49"/>
      <c r="O10" s="28">
        <v>0.25</v>
      </c>
      <c r="P10" s="29">
        <f>N$9*O10</f>
        <v>17.5</v>
      </c>
    </row>
    <row r="11" spans="1:16" s="30" customFormat="1" ht="30" x14ac:dyDescent="0.25">
      <c r="A11" s="43"/>
      <c r="B11" s="42"/>
      <c r="C11" s="26" t="s">
        <v>18</v>
      </c>
      <c r="D11" s="27" t="s">
        <v>50</v>
      </c>
      <c r="E11" s="44"/>
      <c r="F11" s="44"/>
      <c r="G11" s="44"/>
      <c r="H11" s="44"/>
      <c r="I11" s="43"/>
      <c r="J11" s="44"/>
      <c r="K11" s="44"/>
      <c r="L11" s="44"/>
      <c r="M11" s="44"/>
      <c r="N11" s="49"/>
      <c r="O11" s="28">
        <v>0.15</v>
      </c>
      <c r="P11" s="29">
        <f>N$9*O11</f>
        <v>10.5</v>
      </c>
    </row>
    <row r="12" spans="1:16" s="30" customFormat="1" ht="30" x14ac:dyDescent="0.25">
      <c r="A12" s="43"/>
      <c r="B12" s="42"/>
      <c r="C12" s="26" t="s">
        <v>19</v>
      </c>
      <c r="D12" s="27" t="s">
        <v>51</v>
      </c>
      <c r="E12" s="44"/>
      <c r="F12" s="44"/>
      <c r="G12" s="44"/>
      <c r="H12" s="44"/>
      <c r="I12" s="43"/>
      <c r="J12" s="44"/>
      <c r="K12" s="44"/>
      <c r="L12" s="44"/>
      <c r="M12" s="44"/>
      <c r="N12" s="49"/>
      <c r="O12" s="28">
        <v>0.3</v>
      </c>
      <c r="P12" s="29">
        <f>N$9*O12</f>
        <v>21</v>
      </c>
    </row>
    <row r="13" spans="1:16" ht="30" x14ac:dyDescent="0.25">
      <c r="A13" s="3" t="s">
        <v>44</v>
      </c>
      <c r="B13" s="13" t="s">
        <v>39</v>
      </c>
      <c r="C13" s="3" t="s">
        <v>20</v>
      </c>
      <c r="D13" s="13" t="s">
        <v>57</v>
      </c>
      <c r="E13" s="12" t="s">
        <v>65</v>
      </c>
      <c r="F13" s="12">
        <v>80</v>
      </c>
      <c r="G13" s="12">
        <f>(F13+H13)/2</f>
        <v>120</v>
      </c>
      <c r="H13" s="12">
        <v>160</v>
      </c>
      <c r="I13" s="3">
        <f>(F13+4*G13+H13)/6</f>
        <v>120</v>
      </c>
      <c r="J13" s="12">
        <v>150</v>
      </c>
      <c r="K13" s="12">
        <v>0.5</v>
      </c>
      <c r="L13" s="12">
        <v>0.8</v>
      </c>
      <c r="M13" s="12">
        <f>I13/40</f>
        <v>3</v>
      </c>
      <c r="N13" s="16">
        <f>J13*K13*L13/M13</f>
        <v>20</v>
      </c>
      <c r="O13" s="14">
        <v>1</v>
      </c>
      <c r="P13" s="16">
        <f>N13</f>
        <v>20</v>
      </c>
    </row>
    <row r="14" spans="1:16" x14ac:dyDescent="0.25">
      <c r="A14" s="3" t="s">
        <v>45</v>
      </c>
      <c r="B14" s="13" t="s">
        <v>40</v>
      </c>
      <c r="C14" s="3" t="s">
        <v>21</v>
      </c>
      <c r="D14" s="13" t="s">
        <v>58</v>
      </c>
      <c r="E14" s="12" t="s">
        <v>64</v>
      </c>
      <c r="F14" s="12">
        <v>160</v>
      </c>
      <c r="G14" s="12">
        <f>(F14+H14)/2</f>
        <v>200</v>
      </c>
      <c r="H14" s="12">
        <v>240</v>
      </c>
      <c r="I14" s="3">
        <f>(F14+4*G14+H14)/6</f>
        <v>200</v>
      </c>
      <c r="J14" s="12">
        <v>5</v>
      </c>
      <c r="K14" s="12">
        <v>0.5</v>
      </c>
      <c r="L14" s="12">
        <v>0.8</v>
      </c>
      <c r="M14" s="12">
        <f>I14/40</f>
        <v>5</v>
      </c>
      <c r="N14" s="16">
        <f>J14*K14*L14/M14</f>
        <v>0.4</v>
      </c>
      <c r="O14" s="14">
        <v>1</v>
      </c>
      <c r="P14" s="16">
        <f>N14</f>
        <v>0.4</v>
      </c>
    </row>
    <row r="17" spans="1:13" x14ac:dyDescent="0.25">
      <c r="B17" s="11" t="s">
        <v>60</v>
      </c>
      <c r="E17" s="18" t="s">
        <v>86</v>
      </c>
      <c r="F17" s="18"/>
      <c r="G17"/>
      <c r="H17"/>
      <c r="I17"/>
      <c r="J17"/>
      <c r="K17"/>
      <c r="L17"/>
      <c r="M17"/>
    </row>
    <row r="18" spans="1:13" x14ac:dyDescent="0.25">
      <c r="B18" s="11" t="s">
        <v>61</v>
      </c>
      <c r="E18"/>
      <c r="F18"/>
      <c r="G18"/>
      <c r="H18"/>
      <c r="I18"/>
      <c r="J18"/>
      <c r="K18"/>
      <c r="L18"/>
      <c r="M18"/>
    </row>
    <row r="19" spans="1:13" x14ac:dyDescent="0.25">
      <c r="B19" s="11" t="s">
        <v>62</v>
      </c>
      <c r="E19" s="18" t="s">
        <v>121</v>
      </c>
      <c r="F19" s="18"/>
      <c r="G19"/>
      <c r="H19"/>
      <c r="I19"/>
      <c r="J19"/>
      <c r="K19"/>
      <c r="L19"/>
      <c r="M19"/>
    </row>
    <row r="20" spans="1:13" x14ac:dyDescent="0.25">
      <c r="A20" s="11"/>
      <c r="B20" s="11"/>
      <c r="E20"/>
      <c r="F20"/>
      <c r="G20"/>
      <c r="H20"/>
      <c r="I20"/>
      <c r="J20"/>
      <c r="K20"/>
      <c r="L20"/>
      <c r="M20"/>
    </row>
    <row r="21" spans="1:13" x14ac:dyDescent="0.25">
      <c r="B21" s="11" t="s">
        <v>63</v>
      </c>
      <c r="C21" s="11"/>
      <c r="E21" s="18" t="s">
        <v>87</v>
      </c>
      <c r="F21" s="18"/>
      <c r="G21"/>
      <c r="H21"/>
      <c r="I21"/>
      <c r="J21"/>
      <c r="K21"/>
      <c r="L21"/>
      <c r="M21"/>
    </row>
    <row r="22" spans="1:13" x14ac:dyDescent="0.25">
      <c r="B22" s="11" t="s">
        <v>70</v>
      </c>
      <c r="C22" s="11" t="s">
        <v>71</v>
      </c>
      <c r="E22"/>
      <c r="F22"/>
      <c r="G22"/>
      <c r="H22"/>
      <c r="I22"/>
      <c r="J22"/>
      <c r="K22"/>
      <c r="L22"/>
      <c r="M22"/>
    </row>
    <row r="23" spans="1:13" x14ac:dyDescent="0.25">
      <c r="B23" s="11" t="s">
        <v>66</v>
      </c>
      <c r="C23" s="11" t="s">
        <v>67</v>
      </c>
      <c r="E23" s="18" t="s">
        <v>88</v>
      </c>
      <c r="F23" s="18"/>
      <c r="G23"/>
      <c r="H23"/>
      <c r="I23"/>
      <c r="J23"/>
      <c r="K23"/>
      <c r="L23"/>
      <c r="M23"/>
    </row>
    <row r="24" spans="1:13" x14ac:dyDescent="0.25">
      <c r="B24" s="11" t="s">
        <v>69</v>
      </c>
      <c r="C24" s="11" t="s">
        <v>68</v>
      </c>
    </row>
    <row r="25" spans="1:13" x14ac:dyDescent="0.25">
      <c r="B25" s="11" t="s">
        <v>72</v>
      </c>
      <c r="C25" s="11" t="s">
        <v>73</v>
      </c>
    </row>
    <row r="28" spans="1:13" x14ac:dyDescent="0.25">
      <c r="A28" s="11" t="s">
        <v>89</v>
      </c>
    </row>
    <row r="29" spans="1:13" x14ac:dyDescent="0.25">
      <c r="A29" s="11" t="s">
        <v>90</v>
      </c>
    </row>
  </sheetData>
  <mergeCells count="41">
    <mergeCell ref="J9:J12"/>
    <mergeCell ref="K9:K12"/>
    <mergeCell ref="L9:L12"/>
    <mergeCell ref="M9:M12"/>
    <mergeCell ref="N9:N12"/>
    <mergeCell ref="J1:P1"/>
    <mergeCell ref="J3:J4"/>
    <mergeCell ref="K3:K4"/>
    <mergeCell ref="L3:L4"/>
    <mergeCell ref="M3:M4"/>
    <mergeCell ref="N3:N4"/>
    <mergeCell ref="J5:J8"/>
    <mergeCell ref="K5:K8"/>
    <mergeCell ref="L5:L8"/>
    <mergeCell ref="M5:M8"/>
    <mergeCell ref="N5:N8"/>
    <mergeCell ref="I9:I12"/>
    <mergeCell ref="I3:I4"/>
    <mergeCell ref="I5:I8"/>
    <mergeCell ref="F9:F12"/>
    <mergeCell ref="G9:G12"/>
    <mergeCell ref="H9:H12"/>
    <mergeCell ref="F3:F4"/>
    <mergeCell ref="G3:G4"/>
    <mergeCell ref="H3:H4"/>
    <mergeCell ref="B9:B12"/>
    <mergeCell ref="A9:A12"/>
    <mergeCell ref="E9:E12"/>
    <mergeCell ref="A3:A4"/>
    <mergeCell ref="B3:B4"/>
    <mergeCell ref="E3:E4"/>
    <mergeCell ref="A5:A8"/>
    <mergeCell ref="B5:B8"/>
    <mergeCell ref="E5:E8"/>
    <mergeCell ref="C1:D2"/>
    <mergeCell ref="B1:B2"/>
    <mergeCell ref="A1:A2"/>
    <mergeCell ref="E1:I1"/>
    <mergeCell ref="F5:F8"/>
    <mergeCell ref="G5:G8"/>
    <mergeCell ref="H5:H8"/>
  </mergeCells>
  <phoneticPr fontId="8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C76F-3E70-4B8B-8B3B-F03AC502F466}">
  <dimension ref="A1:E14"/>
  <sheetViews>
    <sheetView workbookViewId="0">
      <selection activeCell="D19" sqref="D19"/>
    </sheetView>
  </sheetViews>
  <sheetFormatPr defaultRowHeight="15" x14ac:dyDescent="0.25"/>
  <cols>
    <col min="1" max="1" width="9.140625" style="8"/>
    <col min="2" max="2" width="12.42578125" style="8" customWidth="1"/>
    <col min="3" max="3" width="18.42578125" style="8" customWidth="1"/>
    <col min="4" max="4" width="12.7109375" style="8" customWidth="1"/>
    <col min="5" max="5" width="15.28515625" style="8" customWidth="1"/>
    <col min="6" max="16384" width="9.140625" style="8"/>
  </cols>
  <sheetData>
    <row r="1" spans="1:5" x14ac:dyDescent="0.25">
      <c r="A1" s="50" t="s">
        <v>103</v>
      </c>
      <c r="B1" s="50"/>
      <c r="C1" s="50"/>
      <c r="D1" s="50"/>
      <c r="E1" s="50"/>
    </row>
    <row r="2" spans="1:5" x14ac:dyDescent="0.25">
      <c r="A2" s="19" t="s">
        <v>92</v>
      </c>
      <c r="B2" s="19" t="s">
        <v>91</v>
      </c>
      <c r="C2" s="19" t="s">
        <v>93</v>
      </c>
      <c r="D2" s="19" t="s">
        <v>94</v>
      </c>
      <c r="E2" s="19" t="s">
        <v>95</v>
      </c>
    </row>
    <row r="3" spans="1:5" x14ac:dyDescent="0.25">
      <c r="A3" s="19" t="s">
        <v>10</v>
      </c>
      <c r="B3" s="19" t="s">
        <v>41</v>
      </c>
      <c r="C3" s="19" t="s">
        <v>96</v>
      </c>
      <c r="D3" s="19" t="s">
        <v>99</v>
      </c>
      <c r="E3" s="19" t="s">
        <v>101</v>
      </c>
    </row>
    <row r="4" spans="1:5" ht="30" x14ac:dyDescent="0.25">
      <c r="A4" s="19" t="s">
        <v>11</v>
      </c>
      <c r="B4" s="19" t="s">
        <v>42</v>
      </c>
      <c r="C4" s="19" t="s">
        <v>122</v>
      </c>
      <c r="D4" s="19" t="s">
        <v>97</v>
      </c>
      <c r="E4" s="19" t="s">
        <v>110</v>
      </c>
    </row>
    <row r="5" spans="1:5" ht="30" x14ac:dyDescent="0.25">
      <c r="A5" s="19" t="s">
        <v>12</v>
      </c>
      <c r="B5" s="19" t="s">
        <v>42</v>
      </c>
      <c r="C5" s="19" t="s">
        <v>122</v>
      </c>
      <c r="D5" s="19" t="s">
        <v>97</v>
      </c>
      <c r="E5" s="19" t="s">
        <v>110</v>
      </c>
    </row>
    <row r="6" spans="1:5" x14ac:dyDescent="0.25">
      <c r="A6" s="19" t="s">
        <v>13</v>
      </c>
      <c r="B6" s="19" t="s">
        <v>42</v>
      </c>
      <c r="C6" s="19" t="s">
        <v>122</v>
      </c>
      <c r="D6" s="19" t="s">
        <v>105</v>
      </c>
      <c r="E6" s="19" t="s">
        <v>109</v>
      </c>
    </row>
    <row r="7" spans="1:5" ht="30" x14ac:dyDescent="0.25">
      <c r="A7" s="19" t="s">
        <v>14</v>
      </c>
      <c r="B7" s="19" t="s">
        <v>42</v>
      </c>
      <c r="C7" s="19" t="s">
        <v>122</v>
      </c>
      <c r="D7" s="19" t="s">
        <v>98</v>
      </c>
      <c r="E7" s="19" t="s">
        <v>111</v>
      </c>
    </row>
    <row r="8" spans="1:5" x14ac:dyDescent="0.25">
      <c r="A8" s="19" t="s">
        <v>15</v>
      </c>
      <c r="B8" s="19" t="s">
        <v>41</v>
      </c>
      <c r="C8" s="19" t="s">
        <v>96</v>
      </c>
      <c r="D8" s="19" t="s">
        <v>99</v>
      </c>
      <c r="E8" s="19" t="s">
        <v>100</v>
      </c>
    </row>
    <row r="9" spans="1:5" s="37" customFormat="1" ht="30" x14ac:dyDescent="0.25">
      <c r="A9" s="31" t="s">
        <v>16</v>
      </c>
      <c r="B9" s="31" t="s">
        <v>43</v>
      </c>
      <c r="C9" s="31" t="s">
        <v>106</v>
      </c>
      <c r="D9" s="31" t="s">
        <v>104</v>
      </c>
      <c r="E9" s="31" t="s">
        <v>102</v>
      </c>
    </row>
    <row r="10" spans="1:5" s="37" customFormat="1" ht="30" x14ac:dyDescent="0.25">
      <c r="A10" s="31" t="s">
        <v>17</v>
      </c>
      <c r="B10" s="31" t="s">
        <v>43</v>
      </c>
      <c r="C10" s="31" t="s">
        <v>106</v>
      </c>
      <c r="D10" s="31" t="s">
        <v>104</v>
      </c>
      <c r="E10" s="31" t="s">
        <v>102</v>
      </c>
    </row>
    <row r="11" spans="1:5" s="37" customFormat="1" ht="30" x14ac:dyDescent="0.25">
      <c r="A11" s="31" t="s">
        <v>18</v>
      </c>
      <c r="B11" s="31" t="s">
        <v>43</v>
      </c>
      <c r="C11" s="31" t="s">
        <v>106</v>
      </c>
      <c r="D11" s="31" t="s">
        <v>104</v>
      </c>
      <c r="E11" s="31" t="s">
        <v>102</v>
      </c>
    </row>
    <row r="12" spans="1:5" s="37" customFormat="1" x14ac:dyDescent="0.25">
      <c r="A12" s="31" t="s">
        <v>19</v>
      </c>
      <c r="B12" s="31" t="s">
        <v>43</v>
      </c>
      <c r="C12" s="31" t="s">
        <v>106</v>
      </c>
      <c r="D12" s="31" t="s">
        <v>98</v>
      </c>
      <c r="E12" s="31" t="s">
        <v>108</v>
      </c>
    </row>
    <row r="13" spans="1:5" x14ac:dyDescent="0.25">
      <c r="A13" s="19" t="s">
        <v>20</v>
      </c>
      <c r="B13" s="19" t="s">
        <v>44</v>
      </c>
      <c r="C13" s="19" t="s">
        <v>114</v>
      </c>
      <c r="D13" s="19" t="s">
        <v>115</v>
      </c>
      <c r="E13" s="19" t="s">
        <v>107</v>
      </c>
    </row>
    <row r="14" spans="1:5" ht="30" x14ac:dyDescent="0.25">
      <c r="A14" s="19" t="s">
        <v>21</v>
      </c>
      <c r="B14" s="19" t="s">
        <v>45</v>
      </c>
      <c r="C14" s="19" t="s">
        <v>116</v>
      </c>
      <c r="D14" s="19" t="s">
        <v>117</v>
      </c>
      <c r="E14" s="19" t="s">
        <v>113</v>
      </c>
    </row>
  </sheetData>
  <mergeCells count="1">
    <mergeCell ref="A1:E1"/>
  </mergeCells>
  <phoneticPr fontId="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Backlog</vt:lpstr>
      <vt:lpstr>RICE</vt:lpstr>
      <vt:lpstr>RTM (матрица трассировки)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Админ</cp:lastModifiedBy>
  <dcterms:created xsi:type="dcterms:W3CDTF">2015-06-05T18:19:34Z</dcterms:created>
  <dcterms:modified xsi:type="dcterms:W3CDTF">2026-03-14T22:06:12Z</dcterms:modified>
</cp:coreProperties>
</file>